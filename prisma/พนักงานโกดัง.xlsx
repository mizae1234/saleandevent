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care/web/saleandevent/prisma/"/>
    </mc:Choice>
  </mc:AlternateContent>
  <xr:revisionPtr revIDLastSave="0" documentId="8_{7D88ADFD-55EB-C045-AA5D-D793B192BCA2}" xr6:coauthVersionLast="47" xr6:coauthVersionMax="47" xr10:uidLastSave="{00000000-0000-0000-0000-000000000000}"/>
  <bookViews>
    <workbookView xWindow="280" yWindow="1420" windowWidth="20680" windowHeight="11180" activeTab="1" xr2:uid="{E006DAF5-9D5F-4E95-BB6F-6607DE718FD5}"/>
  </bookViews>
  <sheets>
    <sheet name="Sheet1" sheetId="1" r:id="rId1"/>
    <sheet name="ธค.6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2" l="1"/>
  <c r="I16" i="1"/>
  <c r="I15" i="1"/>
  <c r="I14" i="1"/>
  <c r="I13" i="1"/>
  <c r="I7" i="1"/>
  <c r="I8" i="1"/>
  <c r="I6" i="1"/>
  <c r="I9" i="1"/>
  <c r="I10" i="1"/>
  <c r="I11" i="1"/>
  <c r="I12" i="1"/>
  <c r="I5" i="1"/>
</calcChain>
</file>

<file path=xl/sharedStrings.xml><?xml version="1.0" encoding="utf-8"?>
<sst xmlns="http://schemas.openxmlformats.org/spreadsheetml/2006/main" count="99" uniqueCount="57">
  <si>
    <t>ลำดับ</t>
  </si>
  <si>
    <t>ชื่อ -นามสกุล</t>
  </si>
  <si>
    <t>ชื่อเล่น</t>
  </si>
  <si>
    <t>ตำแหน่ง</t>
  </si>
  <si>
    <t>นางสาวจุฑามาศ  ทองคำดี</t>
  </si>
  <si>
    <t>นางสาวชนัดดา  ทองคำดี</t>
  </si>
  <si>
    <t>มาย</t>
  </si>
  <si>
    <t>เมย์</t>
  </si>
  <si>
    <t>น้ำ</t>
  </si>
  <si>
    <t>โบว์</t>
  </si>
  <si>
    <t>นางสาวพรสุดา  พงษ์นารอท</t>
  </si>
  <si>
    <t>Offline</t>
  </si>
  <si>
    <t>แพ็คสินค้า</t>
  </si>
  <si>
    <t>แพรว</t>
  </si>
  <si>
    <t>นางสาวอนุธิดา  ชูแก้ว</t>
  </si>
  <si>
    <t>ตุ้ย</t>
  </si>
  <si>
    <t>นางสาวสุริยงค์  พหรมแสง</t>
  </si>
  <si>
    <t>นางสาวน้ำทิพย์  มั่นคง</t>
  </si>
  <si>
    <t>เอ็ม</t>
  </si>
  <si>
    <t>จัน</t>
  </si>
  <si>
    <t>นางสาวชวลันรัตน์  สาลี่</t>
  </si>
  <si>
    <t>เงินเดือน</t>
  </si>
  <si>
    <t>หัก ปกส.</t>
  </si>
  <si>
    <t>หัก เบิก</t>
  </si>
  <si>
    <t>OT</t>
  </si>
  <si>
    <t>คงเหลือ</t>
  </si>
  <si>
    <t>เลขที่บัญชี</t>
  </si>
  <si>
    <t>2121170542</t>
  </si>
  <si>
    <t>1041774610</t>
  </si>
  <si>
    <t>0348132113</t>
  </si>
  <si>
    <t>9542153404</t>
  </si>
  <si>
    <t>0803858888</t>
  </si>
  <si>
    <t>พรรณี+วาคิม</t>
  </si>
  <si>
    <t>0143261743</t>
  </si>
  <si>
    <t>จุฬาลักษณ์  สมไพร</t>
  </si>
  <si>
    <t>น้อง</t>
  </si>
  <si>
    <t>ชุติมา คนสวรรค์</t>
  </si>
  <si>
    <t>เรมี</t>
  </si>
  <si>
    <t>0301775849</t>
  </si>
  <si>
    <t>2108551987</t>
  </si>
  <si>
    <t>นางสาวจันตรา  นวล+เจ็ก</t>
  </si>
  <si>
    <t>นางสาวชุติมา  ศรีคำ</t>
  </si>
  <si>
    <t>0762877864</t>
  </si>
  <si>
    <t>2178678224</t>
  </si>
  <si>
    <t>1152643434</t>
  </si>
  <si>
    <t>0871258139</t>
  </si>
  <si>
    <t>รายชื่อพนักงาน โกดัง เดือนธันวาคม 2568</t>
  </si>
  <si>
    <t>สุ+แพร</t>
  </si>
  <si>
    <t>รายชื่อพนักงาน โกดัง เดือนมกราคม 2569</t>
  </si>
  <si>
    <t>0801759343</t>
  </si>
  <si>
    <t>วดป.</t>
  </si>
  <si>
    <t>18-08-2538</t>
  </si>
  <si>
    <t>09-07-2544</t>
  </si>
  <si>
    <t>01-08-2538</t>
  </si>
  <si>
    <t>10-03-2531</t>
  </si>
  <si>
    <t>05-04-2530</t>
  </si>
  <si>
    <t>นางสาวชุติมา คนสวรรค์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</si>
</sst>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 x14ac:knownFonts="1">
    <font>
      <sz val="11"/>
      <color theme="1"/>
      <name val="Calibri"/>
      <family val="2"/>
      <charset val="222"/>
      <scheme val="minor"/>
    </font>
    <font>
      <sz val="18"/>
      <color theme="1"/>
      <name val="Angsana New"/>
      <family val="1"/>
    </font>
    <font>
      <b/>
      <sz val="18"/>
      <color theme="1"/>
      <name val="Angsana New"/>
      <family val="1"/>
    </font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quotePrefix="1" applyBorder="1"/>
    <xf numFmtId="164" fontId="0" fillId="0" borderId="1" xfId="1" applyFont="1" applyBorder="1"/>
    <xf numFmtId="164" fontId="4" fillId="0" borderId="1" xfId="1" applyFont="1" applyBorder="1"/>
    <xf numFmtId="164" fontId="4" fillId="2" borderId="1" xfId="1" applyFont="1" applyFill="1" applyBorder="1"/>
    <xf numFmtId="164" fontId="4" fillId="0" borderId="1" xfId="1" applyFont="1" applyFill="1" applyBorder="1"/>
    <xf numFmtId="164" fontId="0" fillId="3" borderId="1" xfId="1" applyFont="1" applyFill="1" applyBorder="1"/>
    <xf numFmtId="164" fontId="0" fillId="0" borderId="0" xfId="0" applyNumberFormat="1"/>
    <xf numFmtId="0" fontId="1" fillId="0" borderId="1" xfId="0" quotePrefix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ADD5-1C9B-4DF4-98FA-F22EE2C6922D}">
  <dimension ref="A1:J17"/>
  <sheetViews>
    <sheetView workbookViewId="0">
      <selection activeCell="M8" sqref="M8"/>
    </sheetView>
  </sheetViews>
  <sheetFormatPr baseColWidth="10" defaultColWidth="8.83203125" defaultRowHeight="15" x14ac:dyDescent="0.2"/>
  <cols>
    <col min="1" max="1" width="7.6640625" style="1" customWidth="1"/>
    <col min="2" max="2" width="31.1640625" customWidth="1"/>
    <col min="3" max="3" width="11.6640625" customWidth="1"/>
    <col min="4" max="4" width="22.5" hidden="1" customWidth="1"/>
    <col min="5" max="6" width="11.5" customWidth="1"/>
    <col min="9" max="9" width="11.5" customWidth="1"/>
    <col min="10" max="10" width="21.5" customWidth="1"/>
  </cols>
  <sheetData>
    <row r="1" spans="1:10" ht="25.5" customHeight="1" x14ac:dyDescent="0.45">
      <c r="A1" s="15" t="s">
        <v>46</v>
      </c>
      <c r="B1" s="16"/>
      <c r="C1" s="16"/>
      <c r="D1" s="17"/>
    </row>
    <row r="3" spans="1:10" ht="26" x14ac:dyDescent="0.4">
      <c r="A3" s="4" t="s">
        <v>0</v>
      </c>
      <c r="B3" s="5" t="s">
        <v>1</v>
      </c>
      <c r="C3" s="5" t="s">
        <v>2</v>
      </c>
      <c r="D3" s="5" t="s">
        <v>3</v>
      </c>
      <c r="E3" s="5" t="s">
        <v>21</v>
      </c>
      <c r="F3" s="4" t="s">
        <v>24</v>
      </c>
      <c r="G3" s="5" t="s">
        <v>22</v>
      </c>
      <c r="H3" s="5" t="s">
        <v>23</v>
      </c>
      <c r="I3" s="5" t="s">
        <v>25</v>
      </c>
      <c r="J3" s="5" t="s">
        <v>26</v>
      </c>
    </row>
    <row r="4" spans="1:10" ht="26" x14ac:dyDescent="0.4">
      <c r="A4" s="4"/>
      <c r="B4" s="5"/>
      <c r="C4" s="5"/>
      <c r="D4" s="5"/>
      <c r="E4" s="6"/>
      <c r="F4" s="6"/>
      <c r="G4" s="6"/>
      <c r="H4" s="6"/>
      <c r="I4" s="6"/>
      <c r="J4" s="6"/>
    </row>
    <row r="5" spans="1:10" ht="26" x14ac:dyDescent="0.4">
      <c r="A5" s="4">
        <v>1</v>
      </c>
      <c r="B5" s="5" t="s">
        <v>4</v>
      </c>
      <c r="C5" s="5" t="s">
        <v>6</v>
      </c>
      <c r="D5" s="5" t="s">
        <v>11</v>
      </c>
      <c r="E5" s="8">
        <v>20000</v>
      </c>
      <c r="F5" s="8">
        <v>1500</v>
      </c>
      <c r="G5" s="9">
        <v>750</v>
      </c>
      <c r="H5" s="8"/>
      <c r="I5" s="8">
        <f>E5+F5-G5</f>
        <v>20750</v>
      </c>
      <c r="J5" s="7" t="s">
        <v>27</v>
      </c>
    </row>
    <row r="6" spans="1:10" ht="26" x14ac:dyDescent="0.4">
      <c r="A6" s="4">
        <v>2</v>
      </c>
      <c r="B6" s="5" t="s">
        <v>5</v>
      </c>
      <c r="C6" s="5" t="s">
        <v>7</v>
      </c>
      <c r="D6" s="5" t="s">
        <v>12</v>
      </c>
      <c r="E6" s="8">
        <v>17000</v>
      </c>
      <c r="F6" s="8">
        <v>4754</v>
      </c>
      <c r="G6" s="9">
        <v>750</v>
      </c>
      <c r="H6" s="8"/>
      <c r="I6" s="8">
        <f t="shared" ref="I6:I12" si="0">E6+F6-G6</f>
        <v>21004</v>
      </c>
      <c r="J6" s="7" t="s">
        <v>28</v>
      </c>
    </row>
    <row r="7" spans="1:10" ht="26" x14ac:dyDescent="0.4">
      <c r="A7" s="4">
        <v>3</v>
      </c>
      <c r="B7" s="5" t="s">
        <v>14</v>
      </c>
      <c r="C7" s="5" t="s">
        <v>9</v>
      </c>
      <c r="D7" s="5" t="s">
        <v>11</v>
      </c>
      <c r="E7" s="8">
        <v>15000</v>
      </c>
      <c r="F7" s="8">
        <v>2500</v>
      </c>
      <c r="G7" s="9">
        <v>750</v>
      </c>
      <c r="H7" s="8"/>
      <c r="I7" s="8">
        <f t="shared" ref="I7" si="1">E7+F7-G7</f>
        <v>16750</v>
      </c>
      <c r="J7" s="7" t="s">
        <v>45</v>
      </c>
    </row>
    <row r="8" spans="1:10" ht="26" x14ac:dyDescent="0.4">
      <c r="A8" s="4">
        <v>4</v>
      </c>
      <c r="B8" s="5" t="s">
        <v>20</v>
      </c>
      <c r="C8" s="5" t="s">
        <v>8</v>
      </c>
      <c r="D8" s="5" t="s">
        <v>12</v>
      </c>
      <c r="E8" s="8">
        <v>14000</v>
      </c>
      <c r="F8" s="8">
        <v>4872</v>
      </c>
      <c r="G8" s="9">
        <v>700</v>
      </c>
      <c r="H8" s="8"/>
      <c r="I8" s="8">
        <f t="shared" ref="I8" si="2">E8+F8-G8</f>
        <v>18172</v>
      </c>
      <c r="J8" s="7" t="s">
        <v>29</v>
      </c>
    </row>
    <row r="9" spans="1:10" ht="26" x14ac:dyDescent="0.4">
      <c r="A9" s="4">
        <v>5</v>
      </c>
      <c r="B9" s="5" t="s">
        <v>34</v>
      </c>
      <c r="C9" s="5" t="s">
        <v>35</v>
      </c>
      <c r="D9" s="5"/>
      <c r="E9" s="8">
        <v>20000</v>
      </c>
      <c r="F9" s="8">
        <v>2000</v>
      </c>
      <c r="G9" s="9">
        <v>750</v>
      </c>
      <c r="H9" s="8"/>
      <c r="I9" s="8">
        <f t="shared" si="0"/>
        <v>21250</v>
      </c>
      <c r="J9" s="7" t="s">
        <v>38</v>
      </c>
    </row>
    <row r="10" spans="1:10" ht="26" x14ac:dyDescent="0.4">
      <c r="A10" s="4">
        <v>6</v>
      </c>
      <c r="B10" s="5" t="s">
        <v>36</v>
      </c>
      <c r="C10" s="5" t="s">
        <v>37</v>
      </c>
      <c r="D10" s="5"/>
      <c r="E10" s="8">
        <v>18000</v>
      </c>
      <c r="F10" s="12"/>
      <c r="G10" s="9">
        <v>750</v>
      </c>
      <c r="H10" s="8"/>
      <c r="I10" s="8">
        <f t="shared" si="0"/>
        <v>17250</v>
      </c>
      <c r="J10" s="7" t="s">
        <v>39</v>
      </c>
    </row>
    <row r="11" spans="1:10" ht="26" x14ac:dyDescent="0.4">
      <c r="A11" s="4">
        <v>7</v>
      </c>
      <c r="B11" s="5" t="s">
        <v>10</v>
      </c>
      <c r="C11" s="5" t="s">
        <v>13</v>
      </c>
      <c r="D11" s="5" t="s">
        <v>11</v>
      </c>
      <c r="E11" s="8">
        <v>15000</v>
      </c>
      <c r="F11" s="8">
        <v>1500</v>
      </c>
      <c r="G11" s="9">
        <v>750</v>
      </c>
      <c r="H11" s="8"/>
      <c r="I11" s="8">
        <f t="shared" si="0"/>
        <v>15750</v>
      </c>
      <c r="J11" s="7" t="s">
        <v>30</v>
      </c>
    </row>
    <row r="12" spans="1:10" ht="26" x14ac:dyDescent="0.4">
      <c r="A12" s="4">
        <v>8</v>
      </c>
      <c r="B12" s="5" t="s">
        <v>41</v>
      </c>
      <c r="C12" s="5" t="s">
        <v>6</v>
      </c>
      <c r="D12" s="5"/>
      <c r="E12" s="8">
        <v>18000</v>
      </c>
      <c r="F12" s="8">
        <v>1200</v>
      </c>
      <c r="G12" s="11">
        <v>750</v>
      </c>
      <c r="H12" s="8"/>
      <c r="I12" s="8">
        <f t="shared" si="0"/>
        <v>18450</v>
      </c>
      <c r="J12" s="7" t="s">
        <v>42</v>
      </c>
    </row>
    <row r="13" spans="1:10" ht="26" x14ac:dyDescent="0.4">
      <c r="A13" s="4">
        <v>9</v>
      </c>
      <c r="B13" s="5" t="s">
        <v>16</v>
      </c>
      <c r="C13" s="5" t="s">
        <v>15</v>
      </c>
      <c r="D13" s="5" t="s">
        <v>11</v>
      </c>
      <c r="E13" s="8">
        <v>13500</v>
      </c>
      <c r="F13" s="8">
        <v>2500</v>
      </c>
      <c r="G13" s="10"/>
      <c r="H13" s="8"/>
      <c r="I13" s="8">
        <f t="shared" ref="I13:I16" si="3">E13+F13-G13</f>
        <v>16000</v>
      </c>
      <c r="J13" s="7" t="s">
        <v>43</v>
      </c>
    </row>
    <row r="14" spans="1:10" ht="26" x14ac:dyDescent="0.4">
      <c r="A14" s="4">
        <v>10</v>
      </c>
      <c r="B14" s="5" t="s">
        <v>17</v>
      </c>
      <c r="C14" s="5" t="s">
        <v>18</v>
      </c>
      <c r="D14" s="5" t="s">
        <v>11</v>
      </c>
      <c r="E14" s="8">
        <v>13000</v>
      </c>
      <c r="F14" s="8">
        <v>2500</v>
      </c>
      <c r="G14" s="10"/>
      <c r="H14" s="8"/>
      <c r="I14" s="8">
        <f t="shared" si="3"/>
        <v>15500</v>
      </c>
      <c r="J14" s="7" t="s">
        <v>44</v>
      </c>
    </row>
    <row r="15" spans="1:10" ht="26" x14ac:dyDescent="0.4">
      <c r="A15" s="4">
        <v>11</v>
      </c>
      <c r="B15" s="5" t="s">
        <v>40</v>
      </c>
      <c r="C15" s="5" t="s">
        <v>19</v>
      </c>
      <c r="D15" s="5" t="s">
        <v>11</v>
      </c>
      <c r="E15" s="8">
        <v>28000</v>
      </c>
      <c r="F15" s="8">
        <v>3000</v>
      </c>
      <c r="G15" s="10"/>
      <c r="H15" s="8"/>
      <c r="I15" s="8">
        <f t="shared" si="3"/>
        <v>31000</v>
      </c>
      <c r="J15" s="7" t="s">
        <v>31</v>
      </c>
    </row>
    <row r="16" spans="1:10" ht="26" x14ac:dyDescent="0.4">
      <c r="A16" s="4">
        <v>12</v>
      </c>
      <c r="B16" s="5" t="s">
        <v>32</v>
      </c>
      <c r="C16" s="5"/>
      <c r="D16" s="5"/>
      <c r="E16" s="8">
        <v>26000</v>
      </c>
      <c r="F16" s="8">
        <v>3000</v>
      </c>
      <c r="G16" s="10"/>
      <c r="H16" s="8"/>
      <c r="I16" s="8">
        <f t="shared" si="3"/>
        <v>29000</v>
      </c>
      <c r="J16" s="7" t="s">
        <v>33</v>
      </c>
    </row>
    <row r="17" spans="1:4" ht="26" x14ac:dyDescent="0.4">
      <c r="A17" s="3"/>
      <c r="B17" s="2"/>
      <c r="C17" s="2"/>
      <c r="D17" s="2"/>
    </row>
  </sheetData>
  <mergeCells count="1">
    <mergeCell ref="A1:D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00DB9-5772-4050-9FF3-ED4774018E53}">
  <dimension ref="A1:F17"/>
  <sheetViews>
    <sheetView tabSelected="1" workbookViewId="0">
      <selection activeCell="F1" sqref="F1:H1048576"/>
    </sheetView>
  </sheetViews>
  <sheetFormatPr baseColWidth="10" defaultColWidth="8.83203125" defaultRowHeight="15" x14ac:dyDescent="0.2"/>
  <cols>
    <col min="1" max="1" width="7.6640625" style="1" customWidth="1"/>
    <col min="2" max="2" width="31.1640625" customWidth="1"/>
    <col min="3" max="3" width="12.5" customWidth="1"/>
    <col min="4" max="4" width="22.5" hidden="1" customWidth="1"/>
    <col min="5" max="5" width="11.5" customWidth="1"/>
    <col min="6" max="6" width="15.5" customWidth="1"/>
  </cols>
  <sheetData>
    <row r="1" spans="1:6" ht="25.5" customHeight="1" x14ac:dyDescent="0.45">
      <c r="A1" s="15" t="s">
        <v>48</v>
      </c>
      <c r="B1" s="16"/>
      <c r="C1" s="16"/>
      <c r="D1" s="17"/>
    </row>
    <row r="3" spans="1:6" ht="26" x14ac:dyDescent="0.4">
      <c r="A3" s="4" t="s">
        <v>0</v>
      </c>
      <c r="B3" s="5" t="s">
        <v>1</v>
      </c>
      <c r="C3" s="5" t="s">
        <v>50</v>
      </c>
      <c r="D3" s="5" t="s">
        <v>3</v>
      </c>
      <c r="E3" s="5" t="s">
        <v>21</v>
      </c>
      <c r="F3" s="5" t="s">
        <v>26</v>
      </c>
    </row>
    <row r="4" spans="1:6" ht="26" x14ac:dyDescent="0.4">
      <c r="A4" s="4"/>
      <c r="B4" s="5"/>
      <c r="C4" s="5"/>
      <c r="D4" s="5"/>
      <c r="E4" s="6"/>
      <c r="F4" s="6"/>
    </row>
    <row r="5" spans="1:6" ht="26" x14ac:dyDescent="0.4">
      <c r="A5" s="4">
        <v>1</v>
      </c>
      <c r="B5" s="5" t="s">
        <v>4</v>
      </c>
      <c r="C5" s="14" t="s">
        <v>51</v>
      </c>
      <c r="D5" s="5" t="s">
        <v>11</v>
      </c>
      <c r="E5" s="8">
        <v>18900</v>
      </c>
      <c r="F5" s="7" t="s">
        <v>27</v>
      </c>
    </row>
    <row r="6" spans="1:6" ht="26" x14ac:dyDescent="0.4">
      <c r="A6" s="4">
        <v>2</v>
      </c>
      <c r="B6" s="5" t="s">
        <v>5</v>
      </c>
      <c r="C6" s="14" t="s">
        <v>51</v>
      </c>
      <c r="D6" s="5" t="s">
        <v>12</v>
      </c>
      <c r="E6" s="8">
        <v>19000</v>
      </c>
      <c r="F6" s="7" t="s">
        <v>28</v>
      </c>
    </row>
    <row r="7" spans="1:6" ht="26" x14ac:dyDescent="0.4">
      <c r="A7" s="4">
        <v>3</v>
      </c>
      <c r="B7" s="5" t="s">
        <v>14</v>
      </c>
      <c r="C7" s="14" t="s">
        <v>52</v>
      </c>
      <c r="D7" s="5" t="s">
        <v>11</v>
      </c>
      <c r="E7" s="8">
        <v>15750</v>
      </c>
      <c r="F7" s="7" t="s">
        <v>45</v>
      </c>
    </row>
    <row r="8" spans="1:6" ht="26" x14ac:dyDescent="0.4">
      <c r="A8" s="4">
        <v>4</v>
      </c>
      <c r="B8" s="5" t="s">
        <v>20</v>
      </c>
      <c r="C8" s="14" t="s">
        <v>53</v>
      </c>
      <c r="D8" s="5" t="s">
        <v>12</v>
      </c>
      <c r="E8" s="8">
        <v>15750</v>
      </c>
      <c r="F8" s="7" t="s">
        <v>29</v>
      </c>
    </row>
    <row r="9" spans="1:6" ht="26" x14ac:dyDescent="0.4">
      <c r="A9" s="4">
        <v>5</v>
      </c>
      <c r="B9" s="5" t="s">
        <v>56</v>
      </c>
      <c r="C9" s="5"/>
      <c r="D9" s="5"/>
      <c r="E9" s="8">
        <v>23000</v>
      </c>
      <c r="F9" s="7" t="s">
        <v>39</v>
      </c>
    </row>
    <row r="10" spans="1:6" ht="26" x14ac:dyDescent="0.4">
      <c r="A10" s="4">
        <v>6</v>
      </c>
      <c r="B10" s="5" t="s">
        <v>10</v>
      </c>
      <c r="C10" s="5"/>
      <c r="D10" s="5" t="s">
        <v>11</v>
      </c>
      <c r="E10" s="8">
        <v>15750</v>
      </c>
      <c r="F10" s="7" t="s">
        <v>30</v>
      </c>
    </row>
    <row r="11" spans="1:6" ht="26" x14ac:dyDescent="0.4">
      <c r="A11" s="4">
        <v>7</v>
      </c>
      <c r="B11" s="5" t="s">
        <v>41</v>
      </c>
      <c r="C11" s="5"/>
      <c r="D11" s="5"/>
      <c r="E11" s="8">
        <v>18500</v>
      </c>
      <c r="F11" s="7" t="s">
        <v>42</v>
      </c>
    </row>
    <row r="12" spans="1:6" ht="26" x14ac:dyDescent="0.4">
      <c r="A12" s="4">
        <v>8</v>
      </c>
      <c r="B12" s="5" t="s">
        <v>16</v>
      </c>
      <c r="C12" s="14" t="s">
        <v>54</v>
      </c>
      <c r="D12" s="5" t="s">
        <v>11</v>
      </c>
      <c r="E12" s="8">
        <v>14000</v>
      </c>
      <c r="F12" s="7" t="s">
        <v>43</v>
      </c>
    </row>
    <row r="13" spans="1:6" ht="26" x14ac:dyDescent="0.4">
      <c r="A13" s="4">
        <v>9</v>
      </c>
      <c r="B13" s="5" t="s">
        <v>17</v>
      </c>
      <c r="C13" s="14" t="s">
        <v>55</v>
      </c>
      <c r="D13" s="5" t="s">
        <v>11</v>
      </c>
      <c r="E13" s="8">
        <v>14000</v>
      </c>
      <c r="F13" s="7" t="s">
        <v>44</v>
      </c>
    </row>
    <row r="14" spans="1:6" ht="26" x14ac:dyDescent="0.4">
      <c r="A14" s="4">
        <v>10</v>
      </c>
      <c r="B14" s="5" t="s">
        <v>40</v>
      </c>
      <c r="C14" s="5"/>
      <c r="D14" s="5" t="s">
        <v>11</v>
      </c>
      <c r="E14" s="8">
        <v>28000</v>
      </c>
      <c r="F14" s="7" t="s">
        <v>31</v>
      </c>
    </row>
    <row r="15" spans="1:6" ht="26" x14ac:dyDescent="0.4">
      <c r="A15" s="4">
        <v>11</v>
      </c>
      <c r="B15" s="5" t="s">
        <v>32</v>
      </c>
      <c r="C15" s="5"/>
      <c r="D15" s="5"/>
      <c r="E15" s="8">
        <v>26000</v>
      </c>
      <c r="F15" s="7" t="s">
        <v>33</v>
      </c>
    </row>
    <row r="16" spans="1:6" ht="26" x14ac:dyDescent="0.4">
      <c r="A16" s="4">
        <v>12</v>
      </c>
      <c r="B16" s="5" t="s">
        <v>47</v>
      </c>
      <c r="C16" s="5"/>
      <c r="D16" s="5"/>
      <c r="E16" s="8">
        <v>26000</v>
      </c>
      <c r="F16" s="7" t="s">
        <v>49</v>
      </c>
    </row>
    <row r="17" spans="1:5" ht="26" x14ac:dyDescent="0.4">
      <c r="A17" s="3"/>
      <c r="B17" s="2"/>
      <c r="C17" s="2"/>
      <c r="D17" s="2"/>
      <c r="E17" s="13">
        <f>SUM(E4:E16)</f>
        <v>234650</v>
      </c>
    </row>
  </sheetData>
  <mergeCells count="1">
    <mergeCell ref="A1:D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ธค.68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Kanitta Sanprasit</cp:lastModifiedBy>
  <cp:lastPrinted>2026-01-29T10:48:23Z</cp:lastPrinted>
  <dcterms:created xsi:type="dcterms:W3CDTF">2025-08-22T03:00:31Z</dcterms:created>
  <dcterms:modified xsi:type="dcterms:W3CDTF">2026-03-03T16:30:53Z</dcterms:modified>
</cp:coreProperties>
</file>